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s/YS5OCjzuChaN5Go7oz6yUBkjaHs3a1RQZDdxnbf80="/>
    </ext>
  </extLst>
</workbook>
</file>

<file path=xl/sharedStrings.xml><?xml version="1.0" encoding="utf-8"?>
<sst xmlns="http://schemas.openxmlformats.org/spreadsheetml/2006/main" count="114" uniqueCount="69">
  <si>
    <t>TITULO PROYECTO</t>
  </si>
  <si>
    <t>FECHA INICIO</t>
  </si>
  <si>
    <t>Sistema de gestión EXILUS</t>
  </si>
  <si>
    <t>DURACION DE PROYECTO</t>
  </si>
  <si>
    <t>PROJECT MANAGER</t>
  </si>
  <si>
    <t>EN DÍAS</t>
  </si>
  <si>
    <t>Sindy Vilches</t>
  </si>
  <si>
    <t>WBS NO.</t>
  </si>
  <si>
    <t>NOMBRE DE TAREA</t>
  </si>
  <si>
    <t>ESTADO</t>
  </si>
  <si>
    <t>ASGINADO A</t>
  </si>
  <si>
    <t>FECHA TERMINO</t>
  </si>
  <si>
    <t>DURACION EN DÍAS</t>
  </si>
  <si>
    <t>1.1</t>
  </si>
  <si>
    <t>Análisis de Requerimientos</t>
  </si>
  <si>
    <t>Completado</t>
  </si>
  <si>
    <t>Abraham Fernández / Gabriel Delgado</t>
  </si>
  <si>
    <t>1,1.1</t>
  </si>
  <si>
    <t>Levantamiento de requerimientos mediante reuniones con la consulta oftalmológica</t>
  </si>
  <si>
    <t>1.1.2</t>
  </si>
  <si>
    <t>Definición y documentación de requerimientos funcionales y no funcionales</t>
  </si>
  <si>
    <t>1,1.3</t>
  </si>
  <si>
    <t>Validación de los requerimientos con el cliente y realización de ajustes</t>
  </si>
  <si>
    <t>1.2</t>
  </si>
  <si>
    <t>Diseño y Modelamiento</t>
  </si>
  <si>
    <t>1.2.1</t>
  </si>
  <si>
    <t>Diseño de la base de datos para relacionar pacientes, recetas, garantías y captadores</t>
  </si>
  <si>
    <t>Abraham Fernández</t>
  </si>
  <si>
    <t>1.2.2</t>
  </si>
  <si>
    <t>Diseño de las interfaces gráficas y estructura del sistema utilizando PySide 6</t>
  </si>
  <si>
    <t>Gabriel Delgado</t>
  </si>
  <si>
    <t>1.3</t>
  </si>
  <si>
    <t>Desarrollo de Software</t>
  </si>
  <si>
    <t>En Progreso</t>
  </si>
  <si>
    <t>1.3.1</t>
  </si>
  <si>
    <t>Desarrollo del módulo para registro, consulta y seguimiento de pacientes</t>
  </si>
  <si>
    <t>1.3.2</t>
  </si>
  <si>
    <t>Desarrollo del módulo para el registro y seguimiento de garantias</t>
  </si>
  <si>
    <t>1.3.3</t>
  </si>
  <si>
    <t>Desarrollo del módulo para registro y consulta de exámenes oftalmológicos</t>
  </si>
  <si>
    <t>1.3.4</t>
  </si>
  <si>
    <t>Desarrollo del módulo de almacenamiento de recetas y envio mediante correo electrónico</t>
  </si>
  <si>
    <t>1.3.5</t>
  </si>
  <si>
    <t>Desarrollo del módulo para el registro de captadores</t>
  </si>
  <si>
    <t>1.4</t>
  </si>
  <si>
    <t>Pruebas e implementación</t>
  </si>
  <si>
    <t>No comenzado</t>
  </si>
  <si>
    <t>1.4.1</t>
  </si>
  <si>
    <t>Implementación de los diferentes módulos de software</t>
  </si>
  <si>
    <t>1.4.2</t>
  </si>
  <si>
    <t>Conexión de los módulos con la base de datos central</t>
  </si>
  <si>
    <t>1.4.3</t>
  </si>
  <si>
    <t>Configuración de la comunicación a través de API REST</t>
  </si>
  <si>
    <t>1.4.4</t>
  </si>
  <si>
    <t>Diseño de casos de prueba basados en los requerimientos</t>
  </si>
  <si>
    <t>1.4.5</t>
  </si>
  <si>
    <t>Ejecución de pruebas funcionales de los módulos</t>
  </si>
  <si>
    <t>1.4.6</t>
  </si>
  <si>
    <t>Registro, análisis y corrección de errores detectados</t>
  </si>
  <si>
    <t>1.5</t>
  </si>
  <si>
    <t>Gestión y Cierre del Proyecto</t>
  </si>
  <si>
    <t>1.5.1</t>
  </si>
  <si>
    <t>Seguimiento del avance mediante la Carta Gantt</t>
  </si>
  <si>
    <t>1.5.2</t>
  </si>
  <si>
    <t>Revisión final del cumplimiento de requerimientos funcionales</t>
  </si>
  <si>
    <t>1.5.3</t>
  </si>
  <si>
    <t>Preparación de la documentación final</t>
  </si>
  <si>
    <t>1.5.4</t>
  </si>
  <si>
    <t>Implantación y entrega del sistema a la consulta oftalmológica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</si>
</sst>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10.0"/>
      <color theme="0"/>
      <name val="Century Gothic"/>
    </font>
    <font>
      <b/>
      <sz val="10.0"/>
      <color theme="1"/>
      <name val="Century Gothic"/>
    </font>
    <font>
      <b/>
      <sz val="11.0"/>
      <color theme="1"/>
      <name val="Century Gothic"/>
    </font>
    <font>
      <sz val="11.0"/>
      <color theme="1"/>
      <name val="Century Gothic"/>
    </font>
    <font>
      <sz val="10.0"/>
      <color rgb="FF000000"/>
      <name val="Century Gothic"/>
    </font>
    <font>
      <b/>
      <sz val="10.0"/>
      <color rgb="FF000000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D8D8D8"/>
        <bgColor rgb="FFD8D8D8"/>
      </patternFill>
    </fill>
  </fills>
  <borders count="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horizontal="left" shrinkToFit="0" vertical="center" wrapText="1"/>
    </xf>
    <xf borderId="2" fillId="3" fontId="1" numFmtId="164" xfId="0" applyAlignment="1" applyBorder="1" applyFill="1" applyFont="1" applyNumberFormat="1">
      <alignment horizontal="left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3" fillId="5" fontId="1" numFmtId="1" xfId="0" applyAlignment="1" applyBorder="1" applyFill="1" applyFont="1" applyNumberForma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3" fillId="6" fontId="2" numFmtId="0" xfId="0" applyAlignment="1" applyBorder="1" applyFill="1" applyFont="1">
      <alignment horizontal="center" shrinkToFit="0" vertical="center" wrapText="1"/>
    </xf>
    <xf borderId="3" fillId="7" fontId="2" numFmtId="0" xfId="0" applyAlignment="1" applyBorder="1" applyFill="1" applyFont="1">
      <alignment horizontal="center" shrinkToFit="0" vertical="center" wrapText="1"/>
    </xf>
    <xf borderId="3" fillId="8" fontId="2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3" fillId="9" fontId="3" numFmtId="164" xfId="0" applyAlignment="1" applyBorder="1" applyFill="1" applyFont="1" applyNumberFormat="1">
      <alignment horizontal="center" shrinkToFit="0" vertical="center" wrapText="1"/>
    </xf>
    <xf borderId="3" fillId="5" fontId="3" numFmtId="1" xfId="0" applyAlignment="1" applyBorder="1" applyFill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3" fillId="2" fontId="6" numFmtId="165" xfId="0" applyAlignment="1" applyBorder="1" applyFill="1" applyFont="1" applyNumberFormat="1">
      <alignment horizontal="center" readingOrder="1" shrinkToFit="0" vertical="center" wrapText="1"/>
    </xf>
    <xf borderId="3" fillId="4" fontId="6" numFmtId="164" xfId="0" applyAlignment="1" applyBorder="1" applyFill="1" applyFont="1" applyNumberFormat="1">
      <alignment horizontal="center" readingOrder="1" shrinkToFit="0" vertical="center" wrapText="1"/>
    </xf>
    <xf borderId="3" fillId="3" fontId="1" numFmtId="1" xfId="0" applyAlignment="1" applyBorder="1" applyFill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3" numFmtId="1" xfId="0" applyAlignment="1" applyBorder="1" applyFill="1" applyFont="1" applyNumberFormat="1">
      <alignment horizontal="center" shrinkToFit="0" vertical="center" wrapText="1"/>
    </xf>
    <xf borderId="4" fillId="5" fontId="7" numFmtId="0" xfId="0" applyAlignment="1" applyBorder="1" applyFill="1" applyFont="1">
      <alignment horizontal="center" readingOrder="1" shrinkToFit="0" vertical="center" wrapText="1"/>
    </xf>
    <xf borderId="4" fillId="9" fontId="7" numFmtId="164" xfId="0" applyAlignment="1" applyBorder="1" applyFill="1" applyFont="1" applyNumberFormat="1">
      <alignment horizontal="center" readingOrder="1" shrinkToFit="0" vertical="center" wrapText="1"/>
    </xf>
    <xf borderId="4" fillId="9" fontId="3" numFmtId="164" xfId="0" applyAlignment="1" applyBorder="1" applyFill="1" applyFont="1" applyNumberFormat="1">
      <alignment horizontal="center" shrinkToFit="0" vertical="center" wrapText="1"/>
    </xf>
    <xf borderId="3" fillId="2" fontId="6" numFmtId="0" xfId="0" applyAlignment="1" applyBorder="1" applyFill="1" applyFont="1">
      <alignment horizontal="center" readingOrder="1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1" shrinkToFit="0" vertical="center" wrapText="1"/>
    </xf>
    <xf borderId="2" fillId="3" fontId="1" numFmtId="1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6DCE4"/>
          <bgColor rgb="FFD6DCE4"/>
        </patternFill>
      </fill>
      <border/>
    </dxf>
    <dxf>
      <font/>
      <fill>
        <patternFill patternType="solid">
          <fgColor rgb="FFEAEEF3"/>
          <bgColor rgb="FFEAEEF3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Series1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'Carta Gantt'!$C$7:$C$30</c:f>
            </c:strRef>
          </c:cat>
          <c:val>
            <c:numRef>
              <c:f>'Carta Gantt'!$F$7:$F$30</c:f>
              <c:numCache/>
            </c:numRef>
          </c:val>
        </c:ser>
        <c:ser>
          <c:idx val="1"/>
          <c:order val="1"/>
          <c:tx>
            <c:v>Series2</c:v>
          </c:tx>
          <c:spPr>
            <a:solidFill>
              <a:srgbClr val="03C15A">
                <a:alpha val="78824"/>
              </a:srgbClr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0070C0">
                  <a:alpha val="78824"/>
                </a:srgbClr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1EEFF">
                  <a:alpha val="78824"/>
                </a:srgbClr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00B0F0">
                  <a:alpha val="78824"/>
                </a:srgbClr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007134">
                  <a:alpha val="78824"/>
                </a:srgbClr>
              </a:solidFill>
              <a:ln cmpd="sng">
                <a:noFill/>
              </a:ln>
            </c:spPr>
          </c:dPt>
          <c:dPt>
            <c:idx val="10"/>
            <c:spPr>
              <a:solidFill>
                <a:srgbClr val="00B050">
                  <a:alpha val="78824"/>
                </a:srgbClr>
              </a:solidFill>
              <a:ln cmpd="sng">
                <a:noFill/>
              </a:ln>
            </c:spPr>
          </c:dPt>
          <c:dPt>
            <c:idx val="13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9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5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6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27"/>
            <c:spPr>
              <a:solidFill>
                <a:schemeClr val="accent4"/>
              </a:solidFill>
              <a:ln cmpd="sng">
                <a:noFill/>
              </a:ln>
            </c:spPr>
          </c:dPt>
          <c:cat>
            <c:strRef>
              <c:f>'Carta Gantt'!$C$7:$C$30</c:f>
            </c:strRef>
          </c:cat>
          <c:val>
            <c:numRef>
              <c:f>'Carta Gantt'!$H$7:$H$30</c:f>
              <c:numCache/>
            </c:numRef>
          </c:val>
        </c:ser>
        <c:overlap val="100"/>
        <c:axId val="709501393"/>
        <c:axId val="856825896"/>
      </c:barChart>
      <c:catAx>
        <c:axId val="7095013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856825896"/>
      </c:catAx>
      <c:valAx>
        <c:axId val="8568258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709501393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31</xdr:row>
      <xdr:rowOff>114300</xdr:rowOff>
    </xdr:from>
    <xdr:ext cx="18087975" cy="7524750"/>
    <xdr:graphicFrame>
      <xdr:nvGraphicFramePr>
        <xdr:cNvPr id="10259778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/>
  </sheetViews>
  <sheetFormatPr customHeight="1" defaultColWidth="11.22" defaultRowHeight="15.0" outlineLevelRow="1"/>
  <cols>
    <col customWidth="1" min="1" max="1" width="3.44"/>
    <col customWidth="1" min="2" max="2" width="7.89"/>
    <col customWidth="1" min="3" max="3" width="57.0"/>
    <col customWidth="1" min="4" max="4" width="15.0"/>
    <col customWidth="1" min="5" max="5" width="20.89"/>
    <col customWidth="1" min="6" max="6" width="9.56"/>
    <col customWidth="1" min="7" max="7" width="11.44"/>
    <col customWidth="1" min="8" max="8" width="12.56"/>
    <col customWidth="1" min="9" max="9" width="50.89"/>
    <col customWidth="1" min="10" max="10" width="25.0"/>
    <col customWidth="1" min="11" max="11" width="12.89"/>
    <col customWidth="1" min="12" max="17" width="11.0"/>
    <col customWidth="1" min="18" max="18" width="9.0"/>
    <col customWidth="1" min="19" max="28" width="11.0"/>
  </cols>
  <sheetData>
    <row r="1" ht="18.0" customHeight="1">
      <c r="A1" s="1"/>
      <c r="B1" s="1"/>
      <c r="C1" s="1" t="s">
        <v>0</v>
      </c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0" customHeight="1">
      <c r="A2" s="2"/>
      <c r="B2" s="2"/>
      <c r="C2" s="3" t="s">
        <v>2</v>
      </c>
      <c r="D2" s="2"/>
      <c r="E2" s="4">
        <v>46276.0</v>
      </c>
      <c r="F2" s="2"/>
      <c r="G2" s="2"/>
      <c r="H2" s="2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8.0" customHeight="1">
      <c r="A3" s="1"/>
      <c r="B3" s="1"/>
      <c r="C3" s="1" t="s">
        <v>4</v>
      </c>
      <c r="D3" s="1"/>
      <c r="E3" s="1"/>
      <c r="F3" s="1"/>
      <c r="G3" s="1"/>
      <c r="H3" s="1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0" customHeight="1">
      <c r="A4" s="2"/>
      <c r="B4" s="2"/>
      <c r="C4" s="5" t="s">
        <v>6</v>
      </c>
      <c r="D4" s="2"/>
      <c r="E4" s="4">
        <v>46356.0</v>
      </c>
      <c r="F4" s="2"/>
      <c r="G4" s="2"/>
      <c r="H4" s="6">
        <f>IF(E2=0,0,E4-E2)+1</f>
        <v>81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4.5" customHeight="1">
      <c r="A6" s="7"/>
      <c r="B6" s="8" t="s">
        <v>7</v>
      </c>
      <c r="C6" s="8" t="s">
        <v>8</v>
      </c>
      <c r="D6" s="8" t="s">
        <v>9</v>
      </c>
      <c r="E6" s="8" t="s">
        <v>10</v>
      </c>
      <c r="F6" s="9" t="s">
        <v>1</v>
      </c>
      <c r="G6" s="9" t="s">
        <v>11</v>
      </c>
      <c r="H6" s="10" t="s">
        <v>12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4.75" customHeight="1">
      <c r="A7" s="7"/>
      <c r="B7" s="11" t="s">
        <v>13</v>
      </c>
      <c r="C7" s="12" t="s">
        <v>14</v>
      </c>
      <c r="D7" s="11" t="s">
        <v>15</v>
      </c>
      <c r="E7" s="11" t="s">
        <v>16</v>
      </c>
      <c r="F7" s="13">
        <v>46276.0</v>
      </c>
      <c r="G7" s="13">
        <v>46290.0</v>
      </c>
      <c r="H7" s="14">
        <f>IF(F7=0,0,G7-F7)+4</f>
        <v>18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outlineLevel="1">
      <c r="A8" s="7"/>
      <c r="B8" s="15" t="s">
        <v>17</v>
      </c>
      <c r="C8" s="16" t="s">
        <v>18</v>
      </c>
      <c r="D8" s="17" t="s">
        <v>15</v>
      </c>
      <c r="E8" s="18" t="s">
        <v>16</v>
      </c>
      <c r="F8" s="19">
        <v>46276.0</v>
      </c>
      <c r="G8" s="19">
        <v>46280.0</v>
      </c>
      <c r="H8" s="20">
        <f t="shared" ref="H8:H10" si="1">IF(F8=0,0,G8-F8)+1</f>
        <v>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outlineLevel="1">
      <c r="A9" s="7"/>
      <c r="B9" s="15" t="s">
        <v>19</v>
      </c>
      <c r="C9" s="16" t="s">
        <v>20</v>
      </c>
      <c r="D9" s="17" t="s">
        <v>15</v>
      </c>
      <c r="E9" s="18" t="s">
        <v>16</v>
      </c>
      <c r="F9" s="19">
        <v>46281.0</v>
      </c>
      <c r="G9" s="19">
        <v>46285.0</v>
      </c>
      <c r="H9" s="20">
        <f t="shared" si="1"/>
        <v>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outlineLevel="1">
      <c r="A10" s="7"/>
      <c r="B10" s="15" t="s">
        <v>21</v>
      </c>
      <c r="C10" s="16" t="s">
        <v>22</v>
      </c>
      <c r="D10" s="17" t="s">
        <v>15</v>
      </c>
      <c r="E10" s="18" t="s">
        <v>16</v>
      </c>
      <c r="F10" s="19">
        <v>46286.0</v>
      </c>
      <c r="G10" s="19">
        <v>46290.0</v>
      </c>
      <c r="H10" s="20">
        <f t="shared" si="1"/>
        <v>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4.75" customHeight="1" outlineLevel="1">
      <c r="A11" s="7"/>
      <c r="B11" s="21" t="s">
        <v>23</v>
      </c>
      <c r="C11" s="22" t="s">
        <v>24</v>
      </c>
      <c r="D11" s="23" t="s">
        <v>15</v>
      </c>
      <c r="E11" s="11" t="s">
        <v>16</v>
      </c>
      <c r="F11" s="13">
        <v>46291.0</v>
      </c>
      <c r="G11" s="13">
        <v>46302.0</v>
      </c>
      <c r="H11" s="24">
        <f>IF(F11=0,0,G11-F11)+4</f>
        <v>15</v>
      </c>
      <c r="I11" s="7"/>
      <c r="J11" s="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outlineLevel="1">
      <c r="A12" s="7"/>
      <c r="B12" s="15" t="s">
        <v>25</v>
      </c>
      <c r="C12" s="16" t="s">
        <v>26</v>
      </c>
      <c r="D12" s="17" t="s">
        <v>15</v>
      </c>
      <c r="E12" s="18" t="s">
        <v>27</v>
      </c>
      <c r="F12" s="19">
        <v>46291.0</v>
      </c>
      <c r="G12" s="19">
        <v>46296.0</v>
      </c>
      <c r="H12" s="20">
        <f t="shared" ref="H12:H13" si="2">IF(F12=0,0,G12-F12)+1</f>
        <v>6</v>
      </c>
      <c r="I12" s="7"/>
      <c r="J12" s="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outlineLevel="1">
      <c r="A13" s="7"/>
      <c r="B13" s="15" t="s">
        <v>28</v>
      </c>
      <c r="C13" s="16" t="s">
        <v>29</v>
      </c>
      <c r="D13" s="17" t="s">
        <v>15</v>
      </c>
      <c r="E13" s="18" t="s">
        <v>30</v>
      </c>
      <c r="F13" s="19">
        <v>46297.0</v>
      </c>
      <c r="G13" s="19">
        <v>46302.0</v>
      </c>
      <c r="H13" s="20">
        <f t="shared" si="2"/>
        <v>6</v>
      </c>
      <c r="I13" s="7"/>
      <c r="J13" s="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4.75" customHeight="1" outlineLevel="1">
      <c r="A14" s="7"/>
      <c r="B14" s="21" t="s">
        <v>31</v>
      </c>
      <c r="C14" s="22" t="s">
        <v>32</v>
      </c>
      <c r="D14" s="25" t="s">
        <v>33</v>
      </c>
      <c r="E14" s="11" t="s">
        <v>16</v>
      </c>
      <c r="F14" s="13">
        <v>46303.0</v>
      </c>
      <c r="G14" s="13">
        <v>46327.0</v>
      </c>
      <c r="H14" s="24">
        <f>IF(F14=0,0,G14-F14)+4</f>
        <v>28</v>
      </c>
      <c r="I14" s="7"/>
      <c r="J14" s="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outlineLevel="1">
      <c r="A15" s="7"/>
      <c r="B15" s="15" t="s">
        <v>34</v>
      </c>
      <c r="C15" s="16" t="s">
        <v>35</v>
      </c>
      <c r="D15" s="17" t="s">
        <v>15</v>
      </c>
      <c r="E15" s="18" t="s">
        <v>16</v>
      </c>
      <c r="F15" s="19">
        <v>46303.0</v>
      </c>
      <c r="G15" s="19">
        <v>46307.0</v>
      </c>
      <c r="H15" s="20">
        <f t="shared" ref="H15:H19" si="3">IF(F15=0,0,G15-F15)+1</f>
        <v>5</v>
      </c>
      <c r="I15" s="7"/>
      <c r="J15" s="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outlineLevel="1">
      <c r="A16" s="7"/>
      <c r="B16" s="15" t="s">
        <v>36</v>
      </c>
      <c r="C16" s="16" t="s">
        <v>37</v>
      </c>
      <c r="D16" s="17" t="s">
        <v>15</v>
      </c>
      <c r="E16" s="18" t="s">
        <v>16</v>
      </c>
      <c r="F16" s="19">
        <v>46308.0</v>
      </c>
      <c r="G16" s="19">
        <v>46312.0</v>
      </c>
      <c r="H16" s="20">
        <f t="shared" si="3"/>
        <v>5</v>
      </c>
      <c r="I16" s="7"/>
      <c r="J16" s="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15" t="s">
        <v>38</v>
      </c>
      <c r="C17" s="16" t="s">
        <v>39</v>
      </c>
      <c r="D17" s="17" t="s">
        <v>15</v>
      </c>
      <c r="E17" s="18" t="s">
        <v>16</v>
      </c>
      <c r="F17" s="19">
        <v>46313.0</v>
      </c>
      <c r="G17" s="19">
        <v>46317.0</v>
      </c>
      <c r="H17" s="20">
        <f t="shared" si="3"/>
        <v>5</v>
      </c>
      <c r="I17" s="7"/>
      <c r="J17" s="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outlineLevel="1">
      <c r="A18" s="7"/>
      <c r="B18" s="15" t="s">
        <v>40</v>
      </c>
      <c r="C18" s="16" t="s">
        <v>41</v>
      </c>
      <c r="D18" s="17" t="s">
        <v>15</v>
      </c>
      <c r="E18" s="18" t="s">
        <v>16</v>
      </c>
      <c r="F18" s="19">
        <v>46318.0</v>
      </c>
      <c r="G18" s="19">
        <v>46322.0</v>
      </c>
      <c r="H18" s="20">
        <f t="shared" si="3"/>
        <v>5</v>
      </c>
      <c r="I18" s="7"/>
      <c r="J18" s="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7.25" customHeight="1" outlineLevel="1">
      <c r="A19" s="7"/>
      <c r="B19" s="15" t="s">
        <v>42</v>
      </c>
      <c r="C19" s="16" t="s">
        <v>43</v>
      </c>
      <c r="D19" s="17" t="s">
        <v>15</v>
      </c>
      <c r="E19" s="18" t="s">
        <v>16</v>
      </c>
      <c r="F19" s="19">
        <v>46323.0</v>
      </c>
      <c r="G19" s="19">
        <v>46327.0</v>
      </c>
      <c r="H19" s="20">
        <f t="shared" si="3"/>
        <v>5</v>
      </c>
      <c r="I19" s="7"/>
      <c r="J19" s="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24.75" customHeight="1" outlineLevel="1">
      <c r="A20" s="7"/>
      <c r="B20" s="21" t="s">
        <v>44</v>
      </c>
      <c r="C20" s="22" t="s">
        <v>45</v>
      </c>
      <c r="D20" s="25" t="s">
        <v>46</v>
      </c>
      <c r="E20" s="11" t="s">
        <v>16</v>
      </c>
      <c r="F20" s="26">
        <v>46328.0</v>
      </c>
      <c r="G20" s="27">
        <v>46347.0</v>
      </c>
      <c r="H20" s="24">
        <f>IF(F20=0,0,G20-F20)+4</f>
        <v>23</v>
      </c>
      <c r="I20" s="7"/>
      <c r="J20" s="2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3.5" customHeight="1" outlineLevel="1">
      <c r="A21" s="7"/>
      <c r="B21" s="15" t="s">
        <v>47</v>
      </c>
      <c r="C21" s="16" t="s">
        <v>48</v>
      </c>
      <c r="D21" s="17" t="s">
        <v>15</v>
      </c>
      <c r="E21" s="18" t="s">
        <v>16</v>
      </c>
      <c r="F21" s="19">
        <v>46328.0</v>
      </c>
      <c r="G21" s="19">
        <v>46330.0</v>
      </c>
      <c r="H21" s="20">
        <f t="shared" ref="H21:H26" si="4">IF(F21=0,0,G21-F21)+1</f>
        <v>3</v>
      </c>
      <c r="I21" s="7"/>
      <c r="J21" s="2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3.5" customHeight="1" outlineLevel="1">
      <c r="A22" s="7"/>
      <c r="B22" s="15" t="s">
        <v>49</v>
      </c>
      <c r="C22" s="16" t="s">
        <v>50</v>
      </c>
      <c r="D22" s="17" t="s">
        <v>15</v>
      </c>
      <c r="E22" s="18" t="s">
        <v>27</v>
      </c>
      <c r="F22" s="19">
        <v>46331.0</v>
      </c>
      <c r="G22" s="19">
        <v>46333.0</v>
      </c>
      <c r="H22" s="20">
        <f t="shared" si="4"/>
        <v>3</v>
      </c>
      <c r="I22" s="7"/>
      <c r="J22" s="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3.5" customHeight="1" outlineLevel="1">
      <c r="A23" s="7"/>
      <c r="B23" s="15" t="s">
        <v>51</v>
      </c>
      <c r="C23" s="16" t="s">
        <v>52</v>
      </c>
      <c r="D23" s="28" t="s">
        <v>46</v>
      </c>
      <c r="E23" s="18" t="s">
        <v>27</v>
      </c>
      <c r="F23" s="19">
        <v>46334.0</v>
      </c>
      <c r="G23" s="19">
        <v>46336.0</v>
      </c>
      <c r="H23" s="20">
        <f t="shared" si="4"/>
        <v>3</v>
      </c>
      <c r="I23" s="7"/>
      <c r="J23" s="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3.5" customHeight="1" outlineLevel="1">
      <c r="A24" s="7"/>
      <c r="B24" s="15" t="s">
        <v>53</v>
      </c>
      <c r="C24" s="29" t="s">
        <v>54</v>
      </c>
      <c r="D24" s="30" t="s">
        <v>46</v>
      </c>
      <c r="E24" s="18" t="s">
        <v>16</v>
      </c>
      <c r="F24" s="19">
        <v>46337.0</v>
      </c>
      <c r="G24" s="19">
        <v>46339.0</v>
      </c>
      <c r="H24" s="31">
        <f t="shared" si="4"/>
        <v>3</v>
      </c>
      <c r="I24" s="7"/>
      <c r="J24" s="2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3.5" customHeight="1" outlineLevel="1">
      <c r="A25" s="7"/>
      <c r="B25" s="15" t="s">
        <v>55</v>
      </c>
      <c r="C25" s="29" t="s">
        <v>56</v>
      </c>
      <c r="D25" s="30" t="s">
        <v>46</v>
      </c>
      <c r="E25" s="18" t="s">
        <v>16</v>
      </c>
      <c r="F25" s="19">
        <v>46340.0</v>
      </c>
      <c r="G25" s="19">
        <v>46343.0</v>
      </c>
      <c r="H25" s="31">
        <f t="shared" si="4"/>
        <v>4</v>
      </c>
      <c r="I25" s="7"/>
      <c r="J25" s="2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3.5" customHeight="1" outlineLevel="1">
      <c r="A26" s="7"/>
      <c r="B26" s="15" t="s">
        <v>57</v>
      </c>
      <c r="C26" s="29" t="s">
        <v>58</v>
      </c>
      <c r="D26" s="30" t="s">
        <v>46</v>
      </c>
      <c r="E26" s="18" t="s">
        <v>16</v>
      </c>
      <c r="F26" s="19">
        <v>46344.0</v>
      </c>
      <c r="G26" s="19">
        <v>46347.0</v>
      </c>
      <c r="H26" s="31">
        <f t="shared" si="4"/>
        <v>4</v>
      </c>
      <c r="I26" s="7"/>
      <c r="J26" s="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24.75" customHeight="1">
      <c r="A27" s="7"/>
      <c r="B27" s="21" t="s">
        <v>59</v>
      </c>
      <c r="C27" s="22" t="s">
        <v>60</v>
      </c>
      <c r="D27" s="25" t="s">
        <v>46</v>
      </c>
      <c r="E27" s="11" t="s">
        <v>16</v>
      </c>
      <c r="F27" s="26">
        <v>46348.0</v>
      </c>
      <c r="G27" s="26">
        <v>46356.0</v>
      </c>
      <c r="H27" s="24">
        <f>IF(F27=0,0,G27-F27)+3</f>
        <v>11</v>
      </c>
      <c r="I27" s="7"/>
      <c r="J27" s="2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3.5" customHeight="1" outlineLevel="1">
      <c r="A28" s="7"/>
      <c r="B28" s="15" t="s">
        <v>61</v>
      </c>
      <c r="C28" s="16" t="s">
        <v>62</v>
      </c>
      <c r="D28" s="28" t="s">
        <v>46</v>
      </c>
      <c r="E28" s="18" t="s">
        <v>16</v>
      </c>
      <c r="F28" s="19">
        <v>46348.0</v>
      </c>
      <c r="G28" s="19">
        <v>46356.0</v>
      </c>
      <c r="H28" s="20">
        <f t="shared" ref="H28:H31" si="5">IF(F28=0,0,G28-F28)+1</f>
        <v>9</v>
      </c>
      <c r="I28" s="7"/>
      <c r="J28" s="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3.5" customHeight="1" outlineLevel="1">
      <c r="A29" s="7"/>
      <c r="B29" s="15" t="s">
        <v>63</v>
      </c>
      <c r="C29" s="16" t="s">
        <v>64</v>
      </c>
      <c r="D29" s="28" t="s">
        <v>46</v>
      </c>
      <c r="E29" s="18" t="s">
        <v>16</v>
      </c>
      <c r="F29" s="19">
        <v>46348.0</v>
      </c>
      <c r="G29" s="19">
        <v>46350.0</v>
      </c>
      <c r="H29" s="20">
        <f t="shared" si="5"/>
        <v>3</v>
      </c>
      <c r="I29" s="7"/>
      <c r="J29" s="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outlineLevel="1">
      <c r="A30" s="7"/>
      <c r="B30" s="15" t="s">
        <v>65</v>
      </c>
      <c r="C30" s="16" t="s">
        <v>66</v>
      </c>
      <c r="D30" s="28" t="s">
        <v>46</v>
      </c>
      <c r="E30" s="18" t="s">
        <v>16</v>
      </c>
      <c r="F30" s="19">
        <v>46351.0</v>
      </c>
      <c r="G30" s="19">
        <v>46353.0</v>
      </c>
      <c r="H30" s="20">
        <f t="shared" si="5"/>
        <v>3</v>
      </c>
      <c r="I30" s="7"/>
      <c r="J30" s="2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outlineLevel="1">
      <c r="A31" s="7"/>
      <c r="B31" s="15" t="s">
        <v>67</v>
      </c>
      <c r="C31" s="16" t="s">
        <v>68</v>
      </c>
      <c r="D31" s="28" t="s">
        <v>46</v>
      </c>
      <c r="E31" s="18" t="s">
        <v>16</v>
      </c>
      <c r="F31" s="19">
        <v>46354.0</v>
      </c>
      <c r="G31" s="19">
        <v>46356.0</v>
      </c>
      <c r="H31" s="20">
        <f t="shared" si="5"/>
        <v>3</v>
      </c>
      <c r="I31" s="7"/>
      <c r="J31" s="2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300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300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3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ht="13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ht="13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ht="13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ht="13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ht="13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ht="13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ht="13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ht="13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ht="13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ht="13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ht="13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ht="13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ht="13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ht="13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ht="13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ht="13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ht="13.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ht="13.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ht="13.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ht="13.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ht="13.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ht="13.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ht="13.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ht="13.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ht="13.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ht="13.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ht="13.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ht="13.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ht="13.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ht="13.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ht="13.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ht="13.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ht="13.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ht="13.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ht="13.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ht="13.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ht="13.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ht="13.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ht="13.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ht="13.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ht="13.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ht="13.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ht="13.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ht="13.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ht="13.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ht="13.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ht="13.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ht="13.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ht="13.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ht="13.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ht="13.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ht="13.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ht="13.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ht="13.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ht="13.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ht="13.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ht="13.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ht="13.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ht="13.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ht="13.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ht="13.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ht="13.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ht="13.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ht="13.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ht="13.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ht="13.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ht="13.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ht="13.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ht="13.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ht="13.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ht="13.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ht="13.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ht="13.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ht="13.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ht="13.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ht="13.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ht="13.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ht="13.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ht="13.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ht="13.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ht="13.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ht="13.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ht="13.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ht="13.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ht="13.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ht="13.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ht="13.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ht="13.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ht="13.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ht="13.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ht="13.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ht="13.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ht="13.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ht="13.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ht="13.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ht="13.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ht="13.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ht="13.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ht="13.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ht="13.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ht="13.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ht="13.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ht="13.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ht="13.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ht="13.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ht="13.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ht="13.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ht="13.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ht="13.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ht="13.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ht="13.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ht="13.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ht="13.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ht="13.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ht="13.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ht="13.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ht="13.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ht="13.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ht="13.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ht="13.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ht="13.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ht="13.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ht="13.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ht="13.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ht="13.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ht="13.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ht="13.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ht="13.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ht="13.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ht="13.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ht="13.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ht="13.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ht="13.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ht="13.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ht="13.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ht="13.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ht="13.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ht="13.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ht="13.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ht="13.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ht="13.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ht="13.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ht="13.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ht="13.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ht="13.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ht="13.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ht="13.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ht="13.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ht="13.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ht="13.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ht="13.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ht="13.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ht="13.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ht="13.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ht="13.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ht="13.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ht="13.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ht="13.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ht="13.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ht="13.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ht="13.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ht="13.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ht="13.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ht="13.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ht="13.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ht="13.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ht="13.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ht="13.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ht="13.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ht="13.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ht="13.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ht="13.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ht="13.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ht="13.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ht="13.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ht="13.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ht="13.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ht="13.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ht="13.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ht="13.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ht="13.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ht="13.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ht="13.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ht="13.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ht="13.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ht="13.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ht="13.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ht="13.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ht="13.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ht="13.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ht="13.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ht="13.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ht="13.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ht="13.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ht="13.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ht="13.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ht="13.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ht="13.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ht="13.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ht="13.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ht="13.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ht="13.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ht="13.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ht="13.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ht="13.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ht="13.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ht="13.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ht="13.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ht="13.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ht="13.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ht="13.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ht="13.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ht="13.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ht="13.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ht="13.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ht="13.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ht="13.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ht="13.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ht="13.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ht="13.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ht="13.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ht="13.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ht="13.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ht="13.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ht="13.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ht="13.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ht="13.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ht="13.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ht="13.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ht="13.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ht="13.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ht="13.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ht="13.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ht="13.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ht="13.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ht="13.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ht="13.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ht="13.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ht="13.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ht="13.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ht="13.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ht="13.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ht="13.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ht="13.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ht="13.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ht="13.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ht="13.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ht="13.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ht="13.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ht="13.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ht="13.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ht="13.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ht="13.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ht="13.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ht="13.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ht="13.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ht="13.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ht="13.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ht="13.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ht="13.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ht="13.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ht="13.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ht="13.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ht="13.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ht="13.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ht="13.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ht="13.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ht="13.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ht="13.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ht="13.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ht="13.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ht="13.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ht="13.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ht="13.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ht="13.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ht="13.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ht="13.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ht="13.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ht="13.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ht="13.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ht="13.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ht="13.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ht="13.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ht="13.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ht="13.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ht="13.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ht="13.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ht="13.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ht="13.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ht="13.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ht="13.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ht="13.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ht="13.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ht="13.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ht="13.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ht="13.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ht="13.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ht="13.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ht="13.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ht="13.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ht="13.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ht="13.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ht="13.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ht="13.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ht="13.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ht="13.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ht="13.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ht="13.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ht="13.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ht="13.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ht="13.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ht="13.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ht="13.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ht="13.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ht="13.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ht="13.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ht="13.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ht="13.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ht="13.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ht="13.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ht="13.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ht="13.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ht="13.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ht="13.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ht="13.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ht="13.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ht="13.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ht="13.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ht="13.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ht="13.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ht="13.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ht="13.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ht="13.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ht="13.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ht="13.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ht="13.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ht="13.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ht="13.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ht="13.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ht="13.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ht="13.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ht="13.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ht="13.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ht="13.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ht="13.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ht="13.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ht="13.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ht="13.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ht="13.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ht="13.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ht="13.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ht="13.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ht="13.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ht="13.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ht="13.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ht="13.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ht="13.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ht="13.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ht="13.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ht="13.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ht="13.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ht="13.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ht="13.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ht="13.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ht="13.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ht="13.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ht="13.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ht="13.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ht="13.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ht="13.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ht="13.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ht="13.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ht="13.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ht="13.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ht="13.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ht="13.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ht="13.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ht="13.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ht="13.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ht="13.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ht="13.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ht="13.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ht="13.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ht="13.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ht="13.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ht="13.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ht="13.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ht="13.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ht="13.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ht="13.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ht="13.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ht="13.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ht="13.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ht="13.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ht="13.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ht="13.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ht="13.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ht="13.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ht="13.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ht="13.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ht="13.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ht="13.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ht="13.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ht="13.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ht="13.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ht="13.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ht="13.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ht="13.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ht="13.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ht="13.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ht="13.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ht="13.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ht="13.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ht="13.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ht="13.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ht="13.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ht="13.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ht="13.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ht="13.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ht="13.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ht="13.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ht="13.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ht="13.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ht="13.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ht="13.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ht="13.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ht="13.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ht="13.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ht="13.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ht="13.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ht="13.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ht="13.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ht="13.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ht="13.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ht="13.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ht="13.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ht="13.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ht="13.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ht="13.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ht="13.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ht="13.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ht="13.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ht="13.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ht="13.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ht="13.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ht="13.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ht="13.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ht="13.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ht="13.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ht="13.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ht="13.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ht="13.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ht="13.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ht="13.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ht="13.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ht="13.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ht="13.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ht="13.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ht="13.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ht="13.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ht="13.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ht="13.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ht="13.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ht="13.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ht="13.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ht="13.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ht="13.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ht="13.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ht="13.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ht="13.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ht="13.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ht="13.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ht="13.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ht="13.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ht="13.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ht="13.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ht="13.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ht="13.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ht="13.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ht="13.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ht="13.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ht="13.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ht="13.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ht="13.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ht="13.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ht="13.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ht="13.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ht="13.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ht="13.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ht="13.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ht="13.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ht="13.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ht="13.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ht="13.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ht="13.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ht="13.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ht="13.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ht="13.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ht="13.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ht="13.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ht="13.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ht="13.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ht="13.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ht="13.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ht="13.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ht="13.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ht="13.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ht="13.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ht="13.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ht="13.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ht="13.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ht="13.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ht="13.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ht="13.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ht="13.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ht="13.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ht="13.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ht="13.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ht="13.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ht="13.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ht="13.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ht="13.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ht="13.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ht="13.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ht="13.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ht="13.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ht="13.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ht="13.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ht="13.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ht="13.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ht="13.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ht="13.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ht="13.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ht="13.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ht="13.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ht="13.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ht="13.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ht="13.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ht="13.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ht="13.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ht="13.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ht="13.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ht="13.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ht="13.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ht="13.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ht="13.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ht="13.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ht="13.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ht="13.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ht="13.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ht="13.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ht="13.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ht="13.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ht="13.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ht="13.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ht="13.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ht="13.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ht="13.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ht="13.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ht="13.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ht="13.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ht="13.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ht="13.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ht="13.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ht="13.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ht="13.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ht="13.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ht="13.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ht="13.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ht="13.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ht="13.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ht="13.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ht="13.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ht="13.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ht="13.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ht="13.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ht="13.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ht="13.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ht="13.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ht="13.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ht="13.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ht="13.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ht="13.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ht="13.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ht="13.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ht="13.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ht="13.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ht="13.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ht="13.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ht="13.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ht="13.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ht="13.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ht="13.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ht="13.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ht="13.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ht="13.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ht="13.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ht="13.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ht="13.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ht="13.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ht="13.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ht="13.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ht="13.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ht="13.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ht="13.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ht="13.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ht="13.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ht="13.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ht="13.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ht="13.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ht="13.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ht="13.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ht="13.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ht="13.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ht="13.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ht="13.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ht="13.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ht="13.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ht="13.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ht="13.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ht="13.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ht="13.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ht="13.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ht="13.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ht="13.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ht="13.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ht="13.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ht="13.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ht="13.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ht="13.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ht="13.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ht="13.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ht="13.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ht="13.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ht="13.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ht="13.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ht="13.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ht="13.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ht="13.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ht="13.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ht="13.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ht="13.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ht="13.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ht="13.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ht="13.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ht="13.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ht="13.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ht="13.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ht="13.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ht="13.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ht="13.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ht="13.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ht="13.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ht="13.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ht="13.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ht="13.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ht="13.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ht="13.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ht="13.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ht="13.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ht="13.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ht="13.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ht="13.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ht="13.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ht="13.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ht="13.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ht="13.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ht="13.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ht="13.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ht="13.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ht="13.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ht="13.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ht="13.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ht="13.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ht="13.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ht="13.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ht="13.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ht="13.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ht="13.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ht="13.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ht="13.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ht="13.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ht="13.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ht="13.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ht="13.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ht="13.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ht="13.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ht="13.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ht="13.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ht="13.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ht="13.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ht="13.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ht="13.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ht="13.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ht="13.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ht="13.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ht="13.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ht="13.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ht="13.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ht="13.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ht="13.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ht="13.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ht="13.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ht="13.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ht="13.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ht="13.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ht="13.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ht="13.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ht="13.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ht="13.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ht="13.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ht="13.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ht="13.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ht="13.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ht="13.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ht="13.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ht="13.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ht="13.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ht="13.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ht="13.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ht="13.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ht="13.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ht="13.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ht="13.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ht="13.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ht="13.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ht="13.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ht="13.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ht="13.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ht="13.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ht="13.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ht="13.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ht="13.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ht="13.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ht="13.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ht="13.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ht="13.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ht="13.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ht="13.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ht="13.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ht="13.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ht="13.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ht="13.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ht="13.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ht="13.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ht="13.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ht="13.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ht="13.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ht="13.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ht="13.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ht="13.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ht="13.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ht="13.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ht="13.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ht="13.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ht="13.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ht="13.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ht="13.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ht="13.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ht="13.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ht="13.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ht="13.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ht="13.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ht="13.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ht="13.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ht="13.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ht="13.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ht="13.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conditionalFormatting sqref="D7:D31">
    <cfRule type="containsText" dxfId="0" priority="1" operator="containsText" text="On Hold">
      <formula>NOT(ISERROR(SEARCH(("On Hold"),(D7))))</formula>
    </cfRule>
  </conditionalFormatting>
  <conditionalFormatting sqref="D7:D31">
    <cfRule type="containsText" dxfId="1" priority="2" operator="containsText" text="Complete">
      <formula>NOT(ISERROR(SEARCH(("Complete"),(D7))))</formula>
    </cfRule>
  </conditionalFormatting>
  <conditionalFormatting sqref="D7:D31">
    <cfRule type="containsText" dxfId="2" priority="3" operator="containsText" text="In Progress">
      <formula>NOT(ISERROR(SEARCH(("In Progress"),(D7))))</formula>
    </cfRule>
  </conditionalFormatting>
  <conditionalFormatting sqref="D7:D31">
    <cfRule type="containsText" dxfId="3" priority="4" operator="containsText" text="Not Started">
      <formula>NOT(ISERROR(SEARCH(("Not Started"),(D7))))</formula>
    </cfRule>
  </conditionalFormatting>
  <dataValidations>
    <dataValidation type="list" allowBlank="1" showErrorMessage="1" sqref="D7:D31">
      <formula1>#REF!</formula1>
    </dataValidation>
  </dataValidation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