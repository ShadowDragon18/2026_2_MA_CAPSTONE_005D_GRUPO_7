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Fabian\Documents\2026-02\PTY4614 - CAPSTONE\2.1 EXPERIENCIA DE APRENDIZAJE 1\Grupo 007\"/>
    </mc:Choice>
  </mc:AlternateContent>
  <xr:revisionPtr revIDLastSave="0" documentId="13_ncr:1_{BC324BBF-1DE5-433D-9888-2FFCAA52E152}" xr6:coauthVersionLast="47" xr6:coauthVersionMax="47" xr10:uidLastSave="{00000000-0000-0000-0000-000000000000}"/>
  <bookViews>
    <workbookView xWindow="-120" yWindow="-120" windowWidth="2064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G45" i="1"/>
  <c r="E45" i="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C47" i="1" s="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5" i="1"/>
  <c r="E5" i="1" s="1"/>
  <c r="C4" i="1"/>
  <c r="E4" i="1" l="1"/>
</calcChain>
</file>

<file path=xl/sharedStrings.xml><?xml version="1.0" encoding="utf-8"?>
<sst xmlns="http://schemas.openxmlformats.org/spreadsheetml/2006/main" count="158" uniqueCount="98">
  <si>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</si>
  <si>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</si>
  <si>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</si>
  <si>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</si>
  <si>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</si>
  <si>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</si>
  <si>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</si>
  <si>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</si>
  <si>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</si>
  <si>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</si>
  <si>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</si>
  <si>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</si>
  <si>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</si>
  <si>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</si>
  <si>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</si>
  <si>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</si>
  <si>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</si>
  <si>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</si>
  <si>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</si>
  <si>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</si>
  <si>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</si>
  <si>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</si>
  <si>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</si>
  <si>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</si>
  <si>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</si>
  <si>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</si>
  <si>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</si>
  <si>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</si>
  <si>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</si>
  <si>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</si>
  <si>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</si>
  <si>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</si>
  <si>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</si>
  <si>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</si>
  <si>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</si>
  <si>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</si>
  <si>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</si>
  <si>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</si>
  <si>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</si>
  <si>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</si>
  <si>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</si>
  <si>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</si>
  <si>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</si>
  <si>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</si>
  <si>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</si>
  <si>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</si>
  <si>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</si>
  <si>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</si>
  <si>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</si>
  <si>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</si>
  <si>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</si>
  <si>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</si>
  <si>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</si>
  <si>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</si>
  <si>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</si>
  <si>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</si>
  <si>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</si>
  <si>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</si>
  <si>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</si>
  <si>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</si>
  <si>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</si>
  <si>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</si>
  <si>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</si>
  <si>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</si>
  <si>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</si>
  <si>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</si>
  <si>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</si>
  <si>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</si>
  <si>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</si>
  <si>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</si>
  <si>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</si>
  <si>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</si>
  <si>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</si>
  <si>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</si>
  <si>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</si>
  <si>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</si>
  <si>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</si>
  <si>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</si>
  <si>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</si>
  <si>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</si>
  <si>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</si>
  <si>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</si>
  <si>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</si>
  <si>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</si>
  <si>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</si>
  <si>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</si>
  <si>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</si>
  <si>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</si>
  <si>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</si>
  <si>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</si>
  <si>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</si>
  <si>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</si>
  <si>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</si>
  <si>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</si>
  <si>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</si>
  <si>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GABRIEL ARTURO DELGADO RIVEROS</t>
  </si>
  <si>
    <t>x</t>
  </si>
  <si>
    <t>ABRAHAM MAXIMILIANO FERNANDEZ ROJAS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</si>
</sst>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6</v>
      </c>
      <c r="E4" s="43">
        <f>C4*C$2+D4*D$2</f>
        <v>6.75</v>
      </c>
      <c r="G4" s="1"/>
    </row>
    <row r="5" spans="1:11" x14ac:dyDescent="0.25">
      <c r="A5" s="5">
        <v>2</v>
      </c>
      <c r="B5" s="32" t="s">
        <v>97</v>
      </c>
      <c r="C5" s="6">
        <f>EVALUACION1!$C$24</f>
        <v>7</v>
      </c>
      <c r="D5" s="6">
        <f>C47</f>
        <v>6</v>
      </c>
      <c r="E5" s="43">
        <f t="shared" ref="E5" si="0">C5*C$2+D5*D$2</f>
        <v>6.75</v>
      </c>
      <c r="G5" s="1"/>
    </row>
    <row r="6" spans="1:11" x14ac:dyDescent="0.25">
      <c r="A6" s="5">
        <v>3</v>
      </c>
      <c r="B6" s="32"/>
      <c r="C6" s="6"/>
      <c r="D6" s="6"/>
      <c r="E6" s="43"/>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GABRIEL ARTURO DELGADO RIVEROS</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c r="E33" s="16" t="str">
        <f>IF(D33="X",100*0.1,"")</f>
        <v/>
      </c>
      <c r="F33" s="16" t="s">
        <v>96</v>
      </c>
      <c r="G33" s="16">
        <f>IF(F33="X",60*0.1,"")</f>
        <v>6</v>
      </c>
      <c r="H33" s="16" t="str">
        <f>IF($C33=ML,"X","")</f>
        <v/>
      </c>
      <c r="I33" s="16" t="str">
        <f>IF(H33="X",30*0.1,"")</f>
        <v/>
      </c>
      <c r="J33" s="16" t="str">
        <f>IF($C33=NL,"X","")</f>
        <v/>
      </c>
      <c r="K33" s="16" t="str">
        <f>IF($J33="X",0,"")</f>
        <v/>
      </c>
    </row>
    <row r="34" spans="1:11" ht="15.75" customHeight="1" x14ac:dyDescent="0.3">
      <c r="A34" s="61"/>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ABRAHAM MAXIMILIANO FERNANDEZ ROJAS</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c r="E45" s="16" t="str">
        <f>IF(D45="X",100*0.1,"")</f>
        <v/>
      </c>
      <c r="F45" s="16" t="s">
        <v>96</v>
      </c>
      <c r="G45" s="16">
        <f>IF(F45="X",60*0.1,"")</f>
        <v>6</v>
      </c>
      <c r="H45" s="16" t="str">
        <f>IF($C45=ML,"X","")</f>
        <v/>
      </c>
      <c r="I45" s="16" t="str">
        <f>IF(H45="X",30*0.1,"")</f>
        <v/>
      </c>
      <c r="J45" s="16" t="str">
        <f>IF($C45=NL,"X","")</f>
        <v/>
      </c>
      <c r="K45" s="16" t="str">
        <f>IF($J45="X",0,"")</f>
        <v/>
      </c>
    </row>
    <row r="46" spans="1:11" ht="15.75" customHeight="1" x14ac:dyDescent="0.3">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3"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Alvarez Montenegro</cp:lastModifiedBy>
  <cp:revision/>
  <dcterms:created xsi:type="dcterms:W3CDTF">2023-08-07T04:08:01Z</dcterms:created>
  <dcterms:modified xsi:type="dcterms:W3CDTF">2026-09-10T01:19:09Z</dcterms:modified>
  <cp:category/>
  <cp:contentStatus/>
</cp:coreProperties>
</file>